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7"/>
  <workbookPr filterPrivacy="1" defaultThemeVersion="124226"/>
  <xr:revisionPtr revIDLastSave="0" documentId="8_{331E0178-D5FD-42F3-8826-526B633C597A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Statement" sheetId="1" r:id="rId1"/>
    <sheet name="F01.ECP" sheetId="2" r:id="rId2"/>
    <sheet name="F01.BVA" sheetId="3" r:id="rId3"/>
    <sheet name="B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max = 
Current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4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fill with DONE or n/a after re-testing</t>
        </r>
      </text>
    </comment>
    <comment ref="M14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 xml:space="preserve">fill with DONE or n/a after regression testing
</t>
        </r>
      </text>
    </comment>
  </commentList>
</comments>
</file>

<file path=xl/sharedStrings.xml><?xml version="1.0" encoding="utf-8"?>
<sst xmlns="http://schemas.openxmlformats.org/spreadsheetml/2006/main" count="265" uniqueCount="166">
  <si>
    <t>VVSS, Info Romana, 2025-2026</t>
  </si>
  <si>
    <t>Lab02. Black-box Testing. ECP, BVA</t>
  </si>
  <si>
    <t>Echipa</t>
  </si>
  <si>
    <t>Numele si prenumele</t>
  </si>
  <si>
    <t>Grupa</t>
  </si>
  <si>
    <t>Student 1:</t>
  </si>
  <si>
    <t>Mierla Constantin</t>
  </si>
  <si>
    <t>234/1</t>
  </si>
  <si>
    <t>Student 2:</t>
  </si>
  <si>
    <t>Ordean Anamaria</t>
  </si>
  <si>
    <t>235/1</t>
  </si>
  <si>
    <t>Student 3:</t>
  </si>
  <si>
    <t>Oanea Raul-Emmanuel</t>
  </si>
  <si>
    <t>Tehnicile ECP si BVA sunt exemplificate pentru problema de mai jos. Studentii vor aplica aceeasi modalitate de lucru pentru proiectul primit in Lab01.</t>
  </si>
  <si>
    <t>[Unit BBT]</t>
  </si>
  <si>
    <t>Proiectaţi şi implementaţi o aplicaţie Java pentru rezolvarea problemei propuse. Se va evidenţia o arhitectură stratificată.</t>
  </si>
  <si>
    <t>Informaţiile vor fi preluate din fişiere text.</t>
  </si>
  <si>
    <t>1. Gestionarea unui magazin de bauturi</t>
  </si>
  <si>
    <t>Un administrator doreste sa isi creeze o aplicatie de gestionare a unui magazin de bauturi</t>
  </si>
  <si>
    <r>
      <rPr>
        <b/>
        <sz val="11"/>
        <color rgb="FF000000"/>
        <rFont val="Calibri"/>
      </rPr>
      <t>F01.</t>
    </r>
    <r>
      <rPr>
        <sz val="11"/>
        <color rgb="FF000000"/>
        <rFont val="Calibri"/>
      </rPr>
      <t xml:space="preserve"> adăugarea unui produs noui (id, nume, pret, categorie, tip);</t>
    </r>
  </si>
  <si>
    <t>Observații</t>
  </si>
  <si>
    <t xml:space="preserve">1. La proiectarea TCs se consideră o metodă care poate avea următoarea semnătură: </t>
  </si>
  <si>
    <t>addProduct(id: integer, name: string, price: float, category: CategorieBautura, type: TipBautura</t>
  </si>
  <si>
    <t>2. Metoda este definită la nivelul repository, service sau ui.</t>
  </si>
  <si>
    <t>3. Se aleg doi parametri ai metodei testate şi se definesc condiţii asupra acestora. Condiţiile (constrângerile) rezultă din specificaţii.</t>
  </si>
  <si>
    <t>4. Pentru aceşti parametri se aplică ECP şi BVA. La proiectarea testelor se consideră că parametrii de intrare neinvestigaţi aici au valori valide, adică folosim dummy objects.</t>
  </si>
  <si>
    <r>
      <rPr>
        <b/>
        <sz val="11"/>
        <color rgb="FF0070C0"/>
        <rFont val="Calibri"/>
      </rPr>
      <t xml:space="preserve">Exemplu: Parametrii nume </t>
    </r>
    <r>
      <rPr>
        <b/>
        <sz val="11"/>
        <color rgb="FF0066CC"/>
        <rFont val="Calibri"/>
      </rPr>
      <t>şi pret; Condiţii pentru aceşti parametri de intrare: nume este un string cu lungimea validă de la 3 la 100 caractere; pret este valid dacă ia valori între 5.0 şi 45.0.</t>
    </r>
  </si>
  <si>
    <r>
      <rPr>
        <b/>
        <sz val="11"/>
        <color indexed="8"/>
        <rFont val="Calibri"/>
        <family val="2"/>
      </rPr>
      <t>F01.</t>
    </r>
    <r>
      <rPr>
        <sz val="11"/>
        <color theme="1"/>
        <rFont val="Calibri"/>
        <family val="2"/>
        <scheme val="minor"/>
      </rPr>
      <t xml:space="preserve">  adaugarea unui produs nou(id, nume, pret, categorie, tip)</t>
    </r>
  </si>
  <si>
    <t>EC Identification</t>
  </si>
  <si>
    <t>EC-based TCs</t>
  </si>
  <si>
    <t>No. EC</t>
  </si>
  <si>
    <t>Condition</t>
  </si>
  <si>
    <t>Valid EC</t>
  </si>
  <si>
    <t>Non-valid EC</t>
  </si>
  <si>
    <t>No. TCxx_EC</t>
  </si>
  <si>
    <t>EC</t>
  </si>
  <si>
    <t>input data</t>
  </si>
  <si>
    <t>output data</t>
  </si>
  <si>
    <t xml:space="preserve">id e Integer </t>
  </si>
  <si>
    <t>Id e Integer ∈ [1, 9999]</t>
  </si>
  <si>
    <t>id</t>
  </si>
  <si>
    <t>nume</t>
  </si>
  <si>
    <t>pret</t>
  </si>
  <si>
    <t>categorie</t>
  </si>
  <si>
    <t>tip</t>
  </si>
  <si>
    <t>expected</t>
  </si>
  <si>
    <t>Id &lt; 1 si Id &gt; 9999</t>
  </si>
  <si>
    <t>1, 3, 5, 11</t>
  </si>
  <si>
    <t>"Spanish Latte"</t>
  </si>
  <si>
    <t>SPECIAL_COFFEE</t>
  </si>
  <si>
    <t>PLANT_BASED</t>
  </si>
  <si>
    <t>product added</t>
  </si>
  <si>
    <t>nume e String</t>
  </si>
  <si>
    <t>1, 3, 5, 7</t>
  </si>
  <si>
    <t>MILK_COFFEE</t>
  </si>
  <si>
    <t>BASIC</t>
  </si>
  <si>
    <t>nume nu e String</t>
  </si>
  <si>
    <t>1, 3, 5, 8</t>
  </si>
  <si>
    <t>DIARY</t>
  </si>
  <si>
    <t>pret e float</t>
  </si>
  <si>
    <t>pret e float ∈[5.0, 45.0]</t>
  </si>
  <si>
    <t>1,2, 3, 5, 9</t>
  </si>
  <si>
    <t>LACTOSE_FREE</t>
  </si>
  <si>
    <t>pret &lt; 5.0 si pret &gt; 45.0</t>
  </si>
  <si>
    <t>1, 3, 5, 13</t>
  </si>
  <si>
    <t>"Latte"</t>
  </si>
  <si>
    <t>ALL</t>
  </si>
  <si>
    <t>tip ∈ TipBautura</t>
  </si>
  <si>
    <t>tip = "BASIC"</t>
  </si>
  <si>
    <t>1, 3, 6, 12</t>
  </si>
  <si>
    <t>"Matcha"</t>
  </si>
  <si>
    <t>POWDER</t>
  </si>
  <si>
    <t>Error message: Invalid price</t>
  </si>
  <si>
    <t>tip = "DIARY"</t>
  </si>
  <si>
    <t>1,4,5,10</t>
  </si>
  <si>
    <t>""</t>
  </si>
  <si>
    <t>BUBBLE_TEA</t>
  </si>
  <si>
    <t>WATER_BASED</t>
  </si>
  <si>
    <t>Error message: Invalid name</t>
  </si>
  <si>
    <t>tip="LACTOSE_FREE"</t>
  </si>
  <si>
    <t>2, 4, 6, 14</t>
  </si>
  <si>
    <t>Error message: Inavlid id, name, price, category, type</t>
  </si>
  <si>
    <t>tip="WATER_BASED"</t>
  </si>
  <si>
    <t>tip="PLANT_BASED"</t>
  </si>
  <si>
    <t>tip="POWDER"</t>
  </si>
  <si>
    <t>tip="ALL"</t>
  </si>
  <si>
    <t>tip not∈ TipBautura</t>
  </si>
  <si>
    <t xml:space="preserve"> </t>
  </si>
  <si>
    <t>Enum TipBautura {</t>
  </si>
  <si>
    <r>
      <t>BASIC</t>
    </r>
    <r>
      <rPr>
        <sz val="9.8000000000000007"/>
        <color rgb="FFBCBEC4"/>
        <rFont val="JetBrains Mono"/>
        <family val="3"/>
      </rPr>
      <t>,</t>
    </r>
  </si>
  <si>
    <r>
      <t>DAIRY</t>
    </r>
    <r>
      <rPr>
        <sz val="9.8000000000000007"/>
        <color rgb="FFBCBEC4"/>
        <rFont val="JetBrains Mono"/>
        <family val="3"/>
      </rPr>
      <t>,</t>
    </r>
  </si>
  <si>
    <r>
      <t>LACTOSE_FREE</t>
    </r>
    <r>
      <rPr>
        <sz val="9.8000000000000007"/>
        <color rgb="FFBCBEC4"/>
        <rFont val="JetBrains Mono"/>
        <family val="3"/>
      </rPr>
      <t>,</t>
    </r>
  </si>
  <si>
    <r>
      <t>WATER_BASED</t>
    </r>
    <r>
      <rPr>
        <sz val="9.8000000000000007"/>
        <color rgb="FFBCBEC4"/>
        <rFont val="JetBrains Mono"/>
        <family val="3"/>
      </rPr>
      <t>,</t>
    </r>
  </si>
  <si>
    <r>
      <t>PLANT_BASED</t>
    </r>
    <r>
      <rPr>
        <sz val="9.8000000000000007"/>
        <color rgb="FFBCBEC4"/>
        <rFont val="JetBrains Mono"/>
        <family val="3"/>
      </rPr>
      <t>,</t>
    </r>
  </si>
  <si>
    <r>
      <t>POWDER</t>
    </r>
    <r>
      <rPr>
        <sz val="9.8000000000000007"/>
        <color rgb="FFBCBEC4"/>
        <rFont val="JetBrains Mono"/>
        <family val="3"/>
      </rPr>
      <t>,</t>
    </r>
  </si>
  <si>
    <t>}</t>
  </si>
  <si>
    <t>F01.  adaugarea unui produs nou(id, nume, pret, categorie, tip)</t>
  </si>
  <si>
    <t>BVA Condition</t>
  </si>
  <si>
    <t>BVA Condition-based TCs</t>
  </si>
  <si>
    <t>Crt. No.</t>
  </si>
  <si>
    <t>No TCxx_BVA</t>
  </si>
  <si>
    <t>BVA condition</t>
  </si>
  <si>
    <t>Correlated TC</t>
  </si>
  <si>
    <t>Executable</t>
  </si>
  <si>
    <t>id e Integer si id ∈ [1, 9999]</t>
  </si>
  <si>
    <t>01. id= 0</t>
  </si>
  <si>
    <t>expected result</t>
  </si>
  <si>
    <t>02. id=1</t>
  </si>
  <si>
    <t>TC1_EC</t>
  </si>
  <si>
    <t>03. id = 2</t>
  </si>
  <si>
    <t>TC8_EC</t>
  </si>
  <si>
    <t>Error message: Invalid id</t>
  </si>
  <si>
    <t>04. id=9999</t>
  </si>
  <si>
    <t>TC2_EC</t>
  </si>
  <si>
    <t>record added</t>
  </si>
  <si>
    <t>05. id=10000</t>
  </si>
  <si>
    <t>TC3_EC</t>
  </si>
  <si>
    <t>nume e string, lungime ∈ [1,100]</t>
  </si>
  <si>
    <t>06. nume="", lungime=0</t>
  </si>
  <si>
    <t>07. nume="M", lungime = 1</t>
  </si>
  <si>
    <t>no</t>
  </si>
  <si>
    <t>"abc"</t>
  </si>
  <si>
    <t>"Name Latte"</t>
  </si>
  <si>
    <t>08. regizor = "Coffe", lungime = 5</t>
  </si>
  <si>
    <t>09. nume = "C…123", lungime = 99</t>
  </si>
  <si>
    <t>…</t>
  </si>
  <si>
    <t>10. nume = "C…1234", lungime=100</t>
  </si>
  <si>
    <t>11. nume = "C…12345", length = 101</t>
  </si>
  <si>
    <t>pret ∈ [5.0,45.0]</t>
  </si>
  <si>
    <t>12. pret = 4.99</t>
  </si>
  <si>
    <t>13. pret = 5.00</t>
  </si>
  <si>
    <t>14. pret=5.01</t>
  </si>
  <si>
    <t>15. pret = 44.99</t>
  </si>
  <si>
    <t>16. pret =  45.0</t>
  </si>
  <si>
    <t>17. pret = 45.1</t>
  </si>
  <si>
    <t>BBT TCs</t>
  </si>
  <si>
    <t>Final        TC No.</t>
  </si>
  <si>
    <t>Req. ID</t>
  </si>
  <si>
    <t>ECP TCs</t>
  </si>
  <si>
    <t>BVA TCs</t>
  </si>
  <si>
    <t>categori</t>
  </si>
  <si>
    <t>actual result</t>
  </si>
  <si>
    <t>F01</t>
  </si>
  <si>
    <t>TC1_ECP</t>
  </si>
  <si>
    <t>-</t>
  </si>
  <si>
    <t>Spanish Latte</t>
  </si>
  <si>
    <t>Success - record added</t>
  </si>
  <si>
    <t>TC2_ECP</t>
  </si>
  <si>
    <t>Matcha</t>
  </si>
  <si>
    <t>Error message - Price Invalid, it must be at least 5.0, record not added</t>
  </si>
  <si>
    <t>record not added</t>
  </si>
  <si>
    <t>TC3_BVA</t>
  </si>
  <si>
    <t>Matcha Latte</t>
  </si>
  <si>
    <t>MILK_COFFFEE</t>
  </si>
  <si>
    <t>TC4_BVA</t>
  </si>
  <si>
    <t>Statistics</t>
  </si>
  <si>
    <t>Testing</t>
  </si>
  <si>
    <t>Debugging</t>
  </si>
  <si>
    <t>Re-testing</t>
  </si>
  <si>
    <t>Regression Testing</t>
  </si>
  <si>
    <t>#TCs to be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</si>
  <si>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</si>
  <si>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   </t>
    </r>
    <r>
      <rPr>
        <b/>
        <sz val="11"/>
        <color indexed="10"/>
        <rFont val="Calibri"/>
        <family val="2"/>
      </rPr>
      <t>failed</t>
    </r>
  </si>
  <si>
    <t>#Bugs</t>
  </si>
  <si>
    <t>#Fixed Bugs</t>
  </si>
  <si>
    <t>Re-tested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</si>
</sst>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10"/>
      <name val="Calibri"/>
      <family val="2"/>
    </font>
    <font>
      <b/>
      <sz val="11"/>
      <color indexed="17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1"/>
      <color theme="8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9"/>
      <color rgb="FFC00000"/>
      <name val="Candara"/>
      <family val="2"/>
    </font>
    <font>
      <sz val="11"/>
      <name val="Calibri"/>
      <family val="2"/>
      <charset val="238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ourier New"/>
      <family val="3"/>
    </font>
    <font>
      <sz val="10"/>
      <color theme="1"/>
      <name val="Calibri"/>
      <family val="2"/>
      <scheme val="minor"/>
    </font>
    <font>
      <sz val="9.8000000000000007"/>
      <color rgb="FFBCBEC4"/>
      <name val="JetBrains Mono"/>
      <family val="3"/>
    </font>
    <font>
      <i/>
      <sz val="9.8000000000000007"/>
      <color rgb="FFC77DBB"/>
      <name val="JetBrains Mono"/>
      <family val="3"/>
    </font>
    <font>
      <b/>
      <sz val="11"/>
      <color indexed="8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70C0"/>
      <name val="Calibri"/>
    </font>
    <font>
      <b/>
      <sz val="11"/>
      <color rgb="FF0066CC"/>
      <name val="Calibri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6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/>
    <xf numFmtId="0" fontId="9" fillId="0" borderId="0" xfId="0" applyFont="1"/>
    <xf numFmtId="0" fontId="10" fillId="0" borderId="1" xfId="0" applyFont="1" applyBorder="1"/>
    <xf numFmtId="0" fontId="0" fillId="0" borderId="0" xfId="0" applyAlignment="1">
      <alignment horizontal="center" vertical="center"/>
    </xf>
    <xf numFmtId="0" fontId="11" fillId="0" borderId="1" xfId="0" applyFont="1" applyBorder="1"/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7" fillId="0" borderId="1" xfId="0" applyFont="1" applyBorder="1"/>
    <xf numFmtId="0" fontId="1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2" xfId="0" applyFont="1" applyBorder="1"/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3" fillId="0" borderId="1" xfId="0" applyFont="1" applyBorder="1" applyAlignment="1">
      <alignment horizontal="left"/>
    </xf>
    <xf numFmtId="0" fontId="13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16" fillId="0" borderId="0" xfId="0" applyFont="1"/>
    <xf numFmtId="0" fontId="0" fillId="0" borderId="7" xfId="0" applyBorder="1"/>
    <xf numFmtId="0" fontId="6" fillId="0" borderId="8" xfId="0" applyFont="1" applyBorder="1" applyAlignment="1">
      <alignment horizontal="center" vertical="center"/>
    </xf>
    <xf numFmtId="0" fontId="0" fillId="2" borderId="1" xfId="0" applyFill="1" applyBorder="1"/>
    <xf numFmtId="0" fontId="0" fillId="2" borderId="9" xfId="0" applyFill="1" applyBorder="1"/>
    <xf numFmtId="0" fontId="0" fillId="3" borderId="10" xfId="0" applyFill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8" fillId="2" borderId="7" xfId="0" applyFont="1" applyFill="1" applyBorder="1" applyAlignment="1">
      <alignment horizontal="center"/>
    </xf>
    <xf numFmtId="0" fontId="19" fillId="2" borderId="1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14" fillId="0" borderId="0" xfId="0" applyFont="1"/>
    <xf numFmtId="0" fontId="21" fillId="0" borderId="0" xfId="0" applyFont="1"/>
    <xf numFmtId="0" fontId="15" fillId="0" borderId="12" xfId="0" applyFont="1" applyBorder="1"/>
    <xf numFmtId="0" fontId="10" fillId="0" borderId="10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23" fillId="0" borderId="0" xfId="0" applyFont="1" applyAlignment="1">
      <alignment vertical="center"/>
    </xf>
    <xf numFmtId="0" fontId="13" fillId="0" borderId="10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0" fillId="5" borderId="1" xfId="0" applyFill="1" applyBorder="1" applyAlignment="1">
      <alignment horizontal="center"/>
    </xf>
    <xf numFmtId="0" fontId="6" fillId="0" borderId="1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7" fillId="0" borderId="0" xfId="0" applyFont="1" applyAlignment="1">
      <alignment horizontal="left"/>
    </xf>
    <xf numFmtId="0" fontId="6" fillId="6" borderId="1" xfId="0" applyFont="1" applyFill="1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5" xfId="0" applyBorder="1" applyAlignment="1">
      <alignment horizontal="left"/>
    </xf>
    <xf numFmtId="0" fontId="6" fillId="0" borderId="1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3" borderId="19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9" fillId="2" borderId="22" xfId="0" applyFont="1" applyFill="1" applyBorder="1" applyAlignment="1">
      <alignment horizontal="center"/>
    </xf>
    <xf numFmtId="0" fontId="19" fillId="2" borderId="5" xfId="0" applyFont="1" applyFill="1" applyBorder="1" applyAlignment="1">
      <alignment horizontal="center"/>
    </xf>
    <xf numFmtId="0" fontId="6" fillId="0" borderId="10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/>
    </xf>
    <xf numFmtId="0" fontId="20" fillId="0" borderId="0" xfId="0" applyFont="1" applyAlignment="1">
      <alignment wrapText="1"/>
    </xf>
    <xf numFmtId="0" fontId="24" fillId="0" borderId="10" xfId="0" applyFont="1" applyBorder="1" applyAlignment="1">
      <alignment horizontal="left"/>
    </xf>
    <xf numFmtId="0" fontId="26" fillId="0" borderId="0" xfId="0" applyFont="1" applyAlignment="1">
      <alignment wrapText="1"/>
    </xf>
    <xf numFmtId="0" fontId="0" fillId="0" borderId="0" xfId="0" applyAlignment="1">
      <alignment wrapText="1"/>
    </xf>
    <xf numFmtId="0" fontId="27" fillId="0" borderId="0" xfId="0" applyFont="1" applyAlignment="1">
      <alignment horizontal="left" vertical="center" wrapText="1"/>
    </xf>
    <xf numFmtId="0" fontId="6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/>
    </xf>
    <xf numFmtId="0" fontId="8" fillId="0" borderId="34" xfId="0" applyFont="1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2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/>
    <xf numFmtId="0" fontId="8" fillId="0" borderId="1" xfId="0" applyFont="1" applyBorder="1" applyAlignment="1">
      <alignment wrapText="1"/>
    </xf>
    <xf numFmtId="0" fontId="8" fillId="0" borderId="10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2" fontId="30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O26"/>
  <sheetViews>
    <sheetView topLeftCell="A8" workbookViewId="0">
      <selection activeCell="B24" sqref="B24:N24"/>
    </sheetView>
  </sheetViews>
  <sheetFormatPr defaultRowHeight="14.45"/>
  <cols>
    <col min="2" max="3" width="36.5703125" bestFit="1" customWidth="1"/>
    <col min="4" max="4" width="22.5703125" customWidth="1"/>
    <col min="9" max="9" width="32.85546875" customWidth="1"/>
    <col min="10" max="10" width="10.5703125" customWidth="1"/>
    <col min="12" max="12" width="12.140625" customWidth="1"/>
    <col min="14" max="14" width="20" customWidth="1"/>
  </cols>
  <sheetData>
    <row r="1" spans="2:10">
      <c r="C1" s="60" t="s">
        <v>0</v>
      </c>
      <c r="D1" s="61"/>
      <c r="E1" s="61"/>
      <c r="F1" s="62"/>
      <c r="H1" s="44" t="s">
        <v>1</v>
      </c>
      <c r="I1" s="44"/>
      <c r="J1" s="44"/>
    </row>
    <row r="2" spans="2:10">
      <c r="H2" s="79" t="s">
        <v>2</v>
      </c>
      <c r="I2" s="79"/>
      <c r="J2" s="79"/>
    </row>
    <row r="3" spans="2:10">
      <c r="H3" s="2"/>
      <c r="I3" s="2" t="s">
        <v>3</v>
      </c>
      <c r="J3" s="2" t="s">
        <v>4</v>
      </c>
    </row>
    <row r="4" spans="2:10">
      <c r="H4" s="2" t="s">
        <v>5</v>
      </c>
      <c r="I4" s="2" t="s">
        <v>6</v>
      </c>
      <c r="J4" s="2" t="s">
        <v>7</v>
      </c>
    </row>
    <row r="5" spans="2:10">
      <c r="H5" s="2" t="s">
        <v>8</v>
      </c>
      <c r="I5" s="2" t="s">
        <v>9</v>
      </c>
      <c r="J5" s="2" t="s">
        <v>10</v>
      </c>
    </row>
    <row r="6" spans="2:10">
      <c r="B6" s="31"/>
      <c r="H6" s="2" t="s">
        <v>11</v>
      </c>
      <c r="I6" s="2" t="s">
        <v>12</v>
      </c>
      <c r="J6" s="2" t="s">
        <v>10</v>
      </c>
    </row>
    <row r="7" spans="2:10" ht="14.45" customHeight="1"/>
    <row r="8" spans="2:10">
      <c r="B8" s="42" t="s">
        <v>13</v>
      </c>
    </row>
    <row r="9" spans="2:10">
      <c r="B9" s="1" t="s">
        <v>14</v>
      </c>
    </row>
    <row r="10" spans="2:10">
      <c r="B10" s="1" t="s">
        <v>15</v>
      </c>
    </row>
    <row r="11" spans="2:10">
      <c r="B11" s="1" t="s">
        <v>16</v>
      </c>
    </row>
    <row r="12" spans="2:10">
      <c r="B12" s="1"/>
      <c r="C12" s="1"/>
      <c r="D12" s="1"/>
      <c r="E12" s="1"/>
    </row>
    <row r="13" spans="2:10" ht="15">
      <c r="B13" s="1"/>
      <c r="C13" s="1"/>
      <c r="D13" s="1"/>
      <c r="E13" s="1"/>
    </row>
    <row r="14" spans="2:10">
      <c r="B14" t="s">
        <v>17</v>
      </c>
      <c r="C14" s="1"/>
      <c r="D14" s="1"/>
      <c r="E14" s="1"/>
    </row>
    <row r="15" spans="2:10" ht="45.75">
      <c r="B15" s="121" t="s">
        <v>18</v>
      </c>
      <c r="C15" s="1"/>
      <c r="D15" s="1"/>
      <c r="E15" s="1"/>
    </row>
    <row r="16" spans="2:10" ht="30.75">
      <c r="B16" s="120" t="s">
        <v>19</v>
      </c>
      <c r="C16" s="1"/>
      <c r="D16" s="1"/>
      <c r="E16" s="1"/>
    </row>
    <row r="17" spans="1:15">
      <c r="B17" s="1"/>
      <c r="D17" s="1"/>
      <c r="E17" s="1"/>
    </row>
    <row r="18" spans="1:15">
      <c r="B18" s="42" t="s">
        <v>20</v>
      </c>
    </row>
    <row r="19" spans="1:15">
      <c r="B19" s="1" t="s">
        <v>21</v>
      </c>
    </row>
    <row r="20" spans="1:15" ht="60">
      <c r="C20" s="118" t="s">
        <v>22</v>
      </c>
    </row>
    <row r="21" spans="1:15">
      <c r="B21" s="1" t="s">
        <v>23</v>
      </c>
    </row>
    <row r="22" spans="1:15">
      <c r="B22" s="1" t="s">
        <v>24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B23" s="1" t="s">
        <v>25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4.45" customHeight="1">
      <c r="A24" s="41"/>
      <c r="B24" s="122" t="s">
        <v>26</v>
      </c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</row>
    <row r="26" spans="1:15">
      <c r="C26" s="43"/>
    </row>
  </sheetData>
  <mergeCells count="3">
    <mergeCell ref="B24:N24"/>
    <mergeCell ref="C1:F1"/>
    <mergeCell ref="H2:J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B1:O31"/>
  <sheetViews>
    <sheetView workbookViewId="0">
      <selection activeCell="C22" sqref="C22"/>
    </sheetView>
  </sheetViews>
  <sheetFormatPr defaultRowHeight="15"/>
  <cols>
    <col min="2" max="2" width="10.140625" bestFit="1" customWidth="1"/>
    <col min="3" max="3" width="18.140625" bestFit="1" customWidth="1"/>
    <col min="4" max="4" width="21" bestFit="1" customWidth="1"/>
    <col min="5" max="5" width="19.85546875" bestFit="1" customWidth="1"/>
    <col min="6" max="6" width="5.85546875" customWidth="1"/>
    <col min="7" max="7" width="8" customWidth="1"/>
    <col min="8" max="8" width="11.85546875" bestFit="1" customWidth="1"/>
    <col min="9" max="9" width="14.140625" bestFit="1" customWidth="1"/>
    <col min="10" max="10" width="25.5703125" bestFit="1" customWidth="1"/>
    <col min="11" max="11" width="5.85546875" bestFit="1" customWidth="1"/>
    <col min="12" max="12" width="15.5703125" bestFit="1" customWidth="1"/>
    <col min="13" max="13" width="14.140625" bestFit="1" customWidth="1"/>
    <col min="14" max="14" width="47" bestFit="1" customWidth="1"/>
    <col min="15" max="15" width="5" customWidth="1"/>
  </cols>
  <sheetData>
    <row r="1" spans="2:15">
      <c r="B1" s="60" t="s">
        <v>0</v>
      </c>
      <c r="C1" s="61"/>
      <c r="D1" s="61"/>
      <c r="E1" s="62"/>
    </row>
    <row r="3" spans="2:15">
      <c r="B3" s="73" t="s">
        <v>27</v>
      </c>
      <c r="C3" s="74"/>
      <c r="D3" s="74"/>
      <c r="E3" s="74"/>
      <c r="F3" s="74"/>
      <c r="G3" s="75"/>
    </row>
    <row r="5" spans="2:15">
      <c r="B5" s="87" t="s">
        <v>28</v>
      </c>
      <c r="C5" s="87"/>
      <c r="D5" s="87"/>
      <c r="E5" s="87"/>
      <c r="G5" s="72" t="s">
        <v>29</v>
      </c>
      <c r="H5" s="72"/>
      <c r="I5" s="72"/>
      <c r="J5" s="72"/>
      <c r="K5" s="72"/>
      <c r="L5" s="72"/>
      <c r="M5" s="72"/>
      <c r="N5" s="72"/>
      <c r="O5" s="72"/>
    </row>
    <row r="6" spans="2:15">
      <c r="B6" s="20" t="s">
        <v>30</v>
      </c>
      <c r="C6" s="20" t="s">
        <v>31</v>
      </c>
      <c r="D6" s="20" t="s">
        <v>32</v>
      </c>
      <c r="E6" s="20" t="s">
        <v>33</v>
      </c>
      <c r="G6" s="58" t="s">
        <v>34</v>
      </c>
      <c r="H6" s="63" t="s">
        <v>35</v>
      </c>
      <c r="I6" s="76" t="s">
        <v>36</v>
      </c>
      <c r="J6" s="85"/>
      <c r="K6" s="85"/>
      <c r="L6" s="85"/>
      <c r="M6" s="85"/>
      <c r="N6" s="84" t="s">
        <v>37</v>
      </c>
      <c r="O6" s="84"/>
    </row>
    <row r="7" spans="2:15">
      <c r="B7" s="4">
        <v>1</v>
      </c>
      <c r="C7" s="86" t="s">
        <v>38</v>
      </c>
      <c r="D7" s="4" t="s">
        <v>39</v>
      </c>
      <c r="E7" s="4"/>
      <c r="G7" s="59"/>
      <c r="H7" s="64"/>
      <c r="I7" s="20" t="s">
        <v>40</v>
      </c>
      <c r="J7" s="20" t="s">
        <v>41</v>
      </c>
      <c r="K7" s="20" t="s">
        <v>42</v>
      </c>
      <c r="L7" s="20" t="s">
        <v>43</v>
      </c>
      <c r="M7" s="20" t="s">
        <v>44</v>
      </c>
      <c r="N7" s="76" t="s">
        <v>45</v>
      </c>
      <c r="O7" s="77"/>
    </row>
    <row r="8" spans="2:15">
      <c r="B8" s="4">
        <v>2</v>
      </c>
      <c r="C8" s="86"/>
      <c r="D8" s="4"/>
      <c r="E8" s="4" t="s">
        <v>46</v>
      </c>
      <c r="G8" s="20">
        <v>1</v>
      </c>
      <c r="H8" s="2" t="s">
        <v>47</v>
      </c>
      <c r="I8" s="2">
        <v>1</v>
      </c>
      <c r="J8" s="2" t="s">
        <v>48</v>
      </c>
      <c r="K8" s="2">
        <v>12.75</v>
      </c>
      <c r="L8" s="2" t="s">
        <v>49</v>
      </c>
      <c r="M8" s="2" t="s">
        <v>50</v>
      </c>
      <c r="N8" s="80" t="s">
        <v>51</v>
      </c>
      <c r="O8" s="81"/>
    </row>
    <row r="9" spans="2:15" ht="14.45" customHeight="1">
      <c r="B9" s="4">
        <v>3</v>
      </c>
      <c r="C9" s="86" t="s">
        <v>52</v>
      </c>
      <c r="D9" s="4" t="s">
        <v>52</v>
      </c>
      <c r="E9" s="4"/>
      <c r="G9" s="20">
        <v>2</v>
      </c>
      <c r="H9" s="2" t="s">
        <v>53</v>
      </c>
      <c r="I9" s="2">
        <v>2</v>
      </c>
      <c r="J9" s="2" t="s">
        <v>48</v>
      </c>
      <c r="K9" s="2">
        <v>12.75</v>
      </c>
      <c r="L9" s="2" t="s">
        <v>54</v>
      </c>
      <c r="M9" s="2" t="s">
        <v>55</v>
      </c>
      <c r="N9" s="80" t="s">
        <v>51</v>
      </c>
      <c r="O9" s="81"/>
    </row>
    <row r="10" spans="2:15" ht="14.45" customHeight="1">
      <c r="B10" s="4">
        <v>4</v>
      </c>
      <c r="C10" s="86"/>
      <c r="D10" s="4"/>
      <c r="E10" s="4" t="s">
        <v>56</v>
      </c>
      <c r="G10" s="20">
        <v>3</v>
      </c>
      <c r="H10" s="2" t="s">
        <v>57</v>
      </c>
      <c r="I10" s="2">
        <v>9999</v>
      </c>
      <c r="J10" s="2" t="s">
        <v>48</v>
      </c>
      <c r="K10" s="2">
        <v>12.75</v>
      </c>
      <c r="L10" s="2" t="s">
        <v>49</v>
      </c>
      <c r="M10" s="2" t="s">
        <v>58</v>
      </c>
      <c r="N10" s="80" t="s">
        <v>51</v>
      </c>
      <c r="O10" s="81"/>
    </row>
    <row r="11" spans="2:15" ht="15" customHeight="1">
      <c r="B11" s="4">
        <v>5</v>
      </c>
      <c r="C11" s="86" t="s">
        <v>59</v>
      </c>
      <c r="D11" s="4" t="s">
        <v>60</v>
      </c>
      <c r="E11" s="4"/>
      <c r="G11" s="20">
        <v>4</v>
      </c>
      <c r="H11" s="2" t="s">
        <v>61</v>
      </c>
      <c r="I11" s="2">
        <v>104</v>
      </c>
      <c r="J11" s="2" t="s">
        <v>48</v>
      </c>
      <c r="K11" s="2">
        <v>12.75</v>
      </c>
      <c r="L11" s="2" t="s">
        <v>49</v>
      </c>
      <c r="M11" s="2" t="s">
        <v>62</v>
      </c>
      <c r="N11" s="80" t="s">
        <v>51</v>
      </c>
      <c r="O11" s="81"/>
    </row>
    <row r="12" spans="2:15">
      <c r="B12" s="4">
        <v>6</v>
      </c>
      <c r="C12" s="86"/>
      <c r="D12" s="4"/>
      <c r="E12" s="4" t="s">
        <v>63</v>
      </c>
      <c r="G12" s="20">
        <v>5</v>
      </c>
      <c r="H12" s="2" t="s">
        <v>64</v>
      </c>
      <c r="I12" s="2">
        <v>105</v>
      </c>
      <c r="J12" s="2" t="s">
        <v>65</v>
      </c>
      <c r="K12" s="2">
        <v>19</v>
      </c>
      <c r="L12" s="2" t="s">
        <v>54</v>
      </c>
      <c r="M12" s="2" t="s">
        <v>66</v>
      </c>
      <c r="N12" s="80" t="s">
        <v>51</v>
      </c>
      <c r="O12" s="81"/>
    </row>
    <row r="13" spans="2:15" ht="14.45" customHeight="1">
      <c r="B13" s="4">
        <v>7</v>
      </c>
      <c r="C13" s="65" t="s">
        <v>67</v>
      </c>
      <c r="D13" s="4" t="s">
        <v>68</v>
      </c>
      <c r="E13" s="4"/>
      <c r="G13" s="11">
        <v>6</v>
      </c>
      <c r="H13" s="7" t="s">
        <v>69</v>
      </c>
      <c r="I13" s="7">
        <v>105</v>
      </c>
      <c r="J13" s="7" t="s">
        <v>70</v>
      </c>
      <c r="K13" s="7">
        <v>-190</v>
      </c>
      <c r="L13" s="7" t="s">
        <v>54</v>
      </c>
      <c r="M13" s="7" t="s">
        <v>71</v>
      </c>
      <c r="N13" s="52" t="s">
        <v>72</v>
      </c>
      <c r="O13" s="53"/>
    </row>
    <row r="14" spans="2:15" ht="14.45" customHeight="1">
      <c r="B14" s="4">
        <v>8</v>
      </c>
      <c r="C14" s="66"/>
      <c r="D14" s="4" t="s">
        <v>73</v>
      </c>
      <c r="E14" s="4"/>
      <c r="G14" s="11">
        <v>7</v>
      </c>
      <c r="H14" s="7" t="s">
        <v>74</v>
      </c>
      <c r="I14" s="7">
        <v>106</v>
      </c>
      <c r="J14" s="7" t="s">
        <v>75</v>
      </c>
      <c r="K14" s="7">
        <v>40</v>
      </c>
      <c r="L14" s="7" t="s">
        <v>76</v>
      </c>
      <c r="M14" s="7" t="s">
        <v>77</v>
      </c>
      <c r="N14" s="45" t="s">
        <v>78</v>
      </c>
      <c r="O14" s="46"/>
    </row>
    <row r="15" spans="2:15" ht="14.45" customHeight="1">
      <c r="B15" s="4">
        <v>9</v>
      </c>
      <c r="C15" s="66"/>
      <c r="D15" s="4" t="s">
        <v>79</v>
      </c>
      <c r="E15" s="4"/>
      <c r="G15" s="16">
        <v>8</v>
      </c>
      <c r="H15" s="15" t="s">
        <v>80</v>
      </c>
      <c r="I15" s="15">
        <v>-90</v>
      </c>
      <c r="J15" s="15" t="s">
        <v>75</v>
      </c>
      <c r="K15" s="15">
        <v>55</v>
      </c>
      <c r="L15" s="15" t="s">
        <v>43</v>
      </c>
      <c r="M15" s="15" t="s">
        <v>44</v>
      </c>
      <c r="N15" s="47" t="s">
        <v>81</v>
      </c>
      <c r="O15" s="48"/>
    </row>
    <row r="16" spans="2:15" ht="14.45" customHeight="1">
      <c r="B16" s="4">
        <v>10</v>
      </c>
      <c r="C16" s="66"/>
      <c r="D16" s="4" t="s">
        <v>82</v>
      </c>
      <c r="E16" s="4"/>
      <c r="G16" s="16"/>
      <c r="H16" s="15"/>
      <c r="I16" s="15"/>
      <c r="J16" s="15"/>
      <c r="K16" s="15"/>
      <c r="L16" s="15"/>
      <c r="M16" s="15"/>
      <c r="N16" s="82"/>
      <c r="O16" s="83"/>
    </row>
    <row r="17" spans="2:15" ht="14.45" customHeight="1">
      <c r="B17" s="4">
        <v>11</v>
      </c>
      <c r="C17" s="66"/>
      <c r="D17" s="4" t="s">
        <v>83</v>
      </c>
      <c r="E17" s="4"/>
      <c r="G17" s="16"/>
      <c r="H17" s="15"/>
      <c r="I17" s="15"/>
      <c r="J17" s="15"/>
      <c r="K17" s="15"/>
      <c r="L17" s="15"/>
      <c r="M17" s="15"/>
      <c r="N17" s="82"/>
      <c r="O17" s="83"/>
    </row>
    <row r="18" spans="2:15" ht="14.45" customHeight="1">
      <c r="B18" s="4">
        <v>12</v>
      </c>
      <c r="C18" s="66"/>
      <c r="D18" s="4" t="s">
        <v>84</v>
      </c>
      <c r="E18" s="4"/>
      <c r="G18" s="16"/>
      <c r="H18" s="15"/>
      <c r="I18" s="15"/>
      <c r="J18" s="15"/>
      <c r="K18" s="15"/>
      <c r="L18" s="15"/>
      <c r="M18" s="15"/>
      <c r="N18" s="82"/>
      <c r="O18" s="83"/>
    </row>
    <row r="19" spans="2:15" ht="14.45" customHeight="1">
      <c r="B19" s="4">
        <v>13</v>
      </c>
      <c r="C19" s="66"/>
      <c r="D19" s="4" t="s">
        <v>85</v>
      </c>
      <c r="E19" s="4"/>
      <c r="G19" s="20"/>
      <c r="H19" s="2"/>
      <c r="I19" s="2"/>
      <c r="J19" s="2"/>
      <c r="K19" s="2"/>
      <c r="L19" s="2"/>
      <c r="M19" s="2"/>
      <c r="N19" s="82"/>
      <c r="O19" s="83"/>
    </row>
    <row r="20" spans="2:15" ht="14.45" customHeight="1">
      <c r="B20" s="4">
        <v>14</v>
      </c>
      <c r="C20" s="67"/>
      <c r="D20" s="4"/>
      <c r="E20" s="4" t="s">
        <v>86</v>
      </c>
    </row>
    <row r="22" spans="2:15">
      <c r="D22" t="s">
        <v>87</v>
      </c>
      <c r="F22" s="55"/>
      <c r="G22" s="55"/>
    </row>
    <row r="23" spans="2:15">
      <c r="B23" t="s">
        <v>88</v>
      </c>
    </row>
    <row r="24" spans="2:15">
      <c r="C24" s="49" t="s">
        <v>89</v>
      </c>
    </row>
    <row r="25" spans="2:15">
      <c r="C25" s="49" t="s">
        <v>90</v>
      </c>
    </row>
    <row r="26" spans="2:15">
      <c r="C26" s="49" t="s">
        <v>91</v>
      </c>
    </row>
    <row r="27" spans="2:15">
      <c r="C27" s="49" t="s">
        <v>92</v>
      </c>
    </row>
    <row r="28" spans="2:15">
      <c r="C28" s="49" t="s">
        <v>93</v>
      </c>
    </row>
    <row r="29" spans="2:15">
      <c r="C29" s="49" t="s">
        <v>94</v>
      </c>
    </row>
    <row r="30" spans="2:15">
      <c r="C30" s="41" t="s">
        <v>66</v>
      </c>
    </row>
    <row r="31" spans="2:15">
      <c r="C31" s="49" t="s">
        <v>95</v>
      </c>
    </row>
  </sheetData>
  <mergeCells count="24">
    <mergeCell ref="C13:C20"/>
    <mergeCell ref="B1:E1"/>
    <mergeCell ref="C7:C8"/>
    <mergeCell ref="C9:C10"/>
    <mergeCell ref="C11:C12"/>
    <mergeCell ref="B3:G3"/>
    <mergeCell ref="B5:E5"/>
    <mergeCell ref="G5:O5"/>
    <mergeCell ref="G6:G7"/>
    <mergeCell ref="N10:O10"/>
    <mergeCell ref="N11:O11"/>
    <mergeCell ref="N12:O12"/>
    <mergeCell ref="N13:O13"/>
    <mergeCell ref="N8:O8"/>
    <mergeCell ref="N9:O9"/>
    <mergeCell ref="H6:H7"/>
    <mergeCell ref="N6:O6"/>
    <mergeCell ref="I6:M6"/>
    <mergeCell ref="N7:O7"/>
    <mergeCell ref="F22:G22"/>
    <mergeCell ref="N16:O16"/>
    <mergeCell ref="N17:O17"/>
    <mergeCell ref="N18:O18"/>
    <mergeCell ref="N19:O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B1:Q32"/>
  <sheetViews>
    <sheetView tabSelected="1" workbookViewId="0">
      <selection activeCell="C12" sqref="C12:C17"/>
    </sheetView>
  </sheetViews>
  <sheetFormatPr defaultRowHeight="15" customHeight="1"/>
  <cols>
    <col min="2" max="2" width="11.28515625" bestFit="1" customWidth="1"/>
    <col min="3" max="3" width="12.5703125" bestFit="1" customWidth="1"/>
    <col min="4" max="4" width="30.140625" bestFit="1" customWidth="1"/>
    <col min="5" max="5" width="7" customWidth="1"/>
    <col min="6" max="6" width="5.5703125" customWidth="1"/>
    <col min="7" max="7" width="9.42578125" customWidth="1"/>
    <col min="9" max="9" width="10" customWidth="1"/>
    <col min="10" max="10" width="10.140625" bestFit="1" customWidth="1"/>
    <col min="11" max="11" width="9.5703125" customWidth="1"/>
    <col min="12" max="12" width="18.28515625" bestFit="1" customWidth="1"/>
    <col min="13" max="13" width="7.28515625" bestFit="1" customWidth="1"/>
    <col min="14" max="14" width="15.5703125" bestFit="1" customWidth="1"/>
    <col min="15" max="15" width="14.140625" bestFit="1" customWidth="1"/>
    <col min="16" max="16" width="23.28515625" customWidth="1"/>
    <col min="17" max="17" width="9.42578125" customWidth="1"/>
  </cols>
  <sheetData>
    <row r="1" spans="2:17">
      <c r="B1" s="60" t="s">
        <v>0</v>
      </c>
      <c r="C1" s="60"/>
      <c r="D1" s="60"/>
      <c r="E1" s="60"/>
    </row>
    <row r="3" spans="2:17">
      <c r="B3" s="119" t="s">
        <v>96</v>
      </c>
      <c r="C3" s="119"/>
      <c r="D3" s="119"/>
      <c r="E3" s="119"/>
      <c r="F3" s="119"/>
      <c r="G3" s="119"/>
    </row>
    <row r="5" spans="2:17">
      <c r="B5" s="57" t="s">
        <v>97</v>
      </c>
      <c r="C5" s="57"/>
      <c r="D5" s="57"/>
      <c r="E5" s="3"/>
      <c r="G5" s="72" t="s">
        <v>98</v>
      </c>
      <c r="H5" s="72"/>
      <c r="I5" s="72"/>
      <c r="J5" s="72"/>
      <c r="K5" s="72"/>
      <c r="L5" s="72"/>
      <c r="M5" s="72"/>
      <c r="N5" s="72"/>
      <c r="O5" s="72"/>
      <c r="P5" s="72"/>
      <c r="Q5" s="72"/>
    </row>
    <row r="6" spans="2:17" ht="14.45" customHeight="1">
      <c r="B6" s="4" t="s">
        <v>99</v>
      </c>
      <c r="C6" s="4" t="s">
        <v>31</v>
      </c>
      <c r="D6" s="4" t="s">
        <v>97</v>
      </c>
      <c r="E6" s="8"/>
      <c r="G6" s="58" t="s">
        <v>100</v>
      </c>
      <c r="H6" s="58" t="s">
        <v>101</v>
      </c>
      <c r="I6" s="58" t="s">
        <v>102</v>
      </c>
      <c r="J6" s="63" t="s">
        <v>103</v>
      </c>
      <c r="K6" s="54" t="s">
        <v>36</v>
      </c>
      <c r="L6" s="54"/>
      <c r="M6" s="54"/>
      <c r="N6" s="54"/>
      <c r="O6" s="54"/>
      <c r="P6" s="54" t="s">
        <v>37</v>
      </c>
      <c r="Q6" s="54"/>
    </row>
    <row r="7" spans="2:17" ht="16.899999999999999" customHeight="1">
      <c r="B7" s="65">
        <v>1</v>
      </c>
      <c r="C7" s="68" t="s">
        <v>104</v>
      </c>
      <c r="D7" s="2" t="s">
        <v>105</v>
      </c>
      <c r="G7" s="58"/>
      <c r="H7" s="58"/>
      <c r="I7" s="58"/>
      <c r="J7" s="63"/>
      <c r="K7" s="20" t="s">
        <v>40</v>
      </c>
      <c r="L7" s="20" t="s">
        <v>41</v>
      </c>
      <c r="M7" s="30" t="s">
        <v>42</v>
      </c>
      <c r="N7" s="30" t="s">
        <v>43</v>
      </c>
      <c r="O7" s="20" t="s">
        <v>44</v>
      </c>
      <c r="P7" s="76" t="s">
        <v>106</v>
      </c>
      <c r="Q7" s="76"/>
    </row>
    <row r="8" spans="2:17">
      <c r="B8" s="65"/>
      <c r="C8" s="68"/>
      <c r="D8" s="2" t="s">
        <v>107</v>
      </c>
      <c r="G8" s="20">
        <v>1</v>
      </c>
      <c r="H8" s="14">
        <v>2</v>
      </c>
      <c r="I8" s="13" t="s">
        <v>108</v>
      </c>
      <c r="J8" s="13"/>
      <c r="K8" s="29">
        <v>1</v>
      </c>
      <c r="L8" s="29" t="s">
        <v>48</v>
      </c>
      <c r="M8" s="29">
        <v>12.75</v>
      </c>
      <c r="N8" s="2" t="s">
        <v>49</v>
      </c>
      <c r="O8" s="29" t="s">
        <v>50</v>
      </c>
      <c r="P8" s="50" t="s">
        <v>51</v>
      </c>
      <c r="Q8" s="50"/>
    </row>
    <row r="9" spans="2:17">
      <c r="B9" s="65"/>
      <c r="C9" s="68"/>
      <c r="D9" s="2" t="s">
        <v>109</v>
      </c>
      <c r="G9" s="128">
        <v>2</v>
      </c>
      <c r="H9" s="14">
        <v>1</v>
      </c>
      <c r="I9" s="13" t="s">
        <v>110</v>
      </c>
      <c r="J9" s="13"/>
      <c r="K9" s="28">
        <v>0</v>
      </c>
      <c r="L9" s="29" t="s">
        <v>48</v>
      </c>
      <c r="M9" s="29">
        <v>12.75</v>
      </c>
      <c r="N9" s="2" t="s">
        <v>49</v>
      </c>
      <c r="O9" s="29" t="s">
        <v>50</v>
      </c>
      <c r="P9" s="50" t="s">
        <v>111</v>
      </c>
      <c r="Q9" s="50"/>
    </row>
    <row r="10" spans="2:17">
      <c r="B10" s="65"/>
      <c r="C10" s="68"/>
      <c r="D10" s="2" t="s">
        <v>112</v>
      </c>
      <c r="G10" s="20">
        <v>3</v>
      </c>
      <c r="H10" s="14">
        <v>3</v>
      </c>
      <c r="I10" s="13" t="s">
        <v>113</v>
      </c>
      <c r="J10" s="13"/>
      <c r="K10" s="28">
        <v>2</v>
      </c>
      <c r="L10" s="2" t="s">
        <v>48</v>
      </c>
      <c r="M10" s="2">
        <v>12.75</v>
      </c>
      <c r="N10" s="2" t="s">
        <v>54</v>
      </c>
      <c r="O10" s="2" t="s">
        <v>55</v>
      </c>
      <c r="P10" s="50" t="s">
        <v>114</v>
      </c>
      <c r="Q10" s="50"/>
    </row>
    <row r="11" spans="2:17">
      <c r="B11" s="65"/>
      <c r="C11" s="68"/>
      <c r="D11" s="2" t="s">
        <v>115</v>
      </c>
      <c r="G11" s="20">
        <v>4</v>
      </c>
      <c r="H11" s="14">
        <v>4</v>
      </c>
      <c r="I11" s="13" t="s">
        <v>116</v>
      </c>
      <c r="J11" s="13"/>
      <c r="K11" s="2">
        <v>9999</v>
      </c>
      <c r="L11" s="2" t="s">
        <v>48</v>
      </c>
      <c r="M11" s="2">
        <v>12.75</v>
      </c>
      <c r="N11" s="2" t="s">
        <v>49</v>
      </c>
      <c r="O11" s="2" t="s">
        <v>58</v>
      </c>
      <c r="P11" s="50" t="s">
        <v>114</v>
      </c>
      <c r="Q11" s="50"/>
    </row>
    <row r="12" spans="2:17" ht="15" customHeight="1">
      <c r="B12" s="65">
        <v>2</v>
      </c>
      <c r="C12" s="68" t="s">
        <v>117</v>
      </c>
      <c r="D12" s="2" t="s">
        <v>118</v>
      </c>
      <c r="G12" s="20">
        <v>5</v>
      </c>
      <c r="H12" s="14">
        <v>5</v>
      </c>
      <c r="I12" s="13" t="s">
        <v>110</v>
      </c>
      <c r="J12" s="13"/>
      <c r="K12" s="28">
        <v>10000</v>
      </c>
      <c r="L12" s="29" t="s">
        <v>65</v>
      </c>
      <c r="M12" s="29">
        <v>13.78</v>
      </c>
      <c r="N12" s="29" t="s">
        <v>54</v>
      </c>
      <c r="O12" s="29" t="s">
        <v>66</v>
      </c>
      <c r="P12" s="50" t="s">
        <v>111</v>
      </c>
      <c r="Q12" s="51"/>
    </row>
    <row r="13" spans="2:17">
      <c r="B13" s="66"/>
      <c r="C13" s="69"/>
      <c r="D13" s="2" t="s">
        <v>119</v>
      </c>
      <c r="G13" s="16">
        <v>6</v>
      </c>
      <c r="H13" s="17"/>
      <c r="I13" s="18" t="s">
        <v>110</v>
      </c>
      <c r="J13" s="18" t="s">
        <v>120</v>
      </c>
      <c r="K13" s="19" t="s">
        <v>121</v>
      </c>
      <c r="L13" s="15" t="s">
        <v>122</v>
      </c>
      <c r="M13" s="15">
        <v>10.9</v>
      </c>
      <c r="N13" s="15" t="s">
        <v>54</v>
      </c>
      <c r="O13" s="15" t="s">
        <v>66</v>
      </c>
      <c r="P13" s="82" t="s">
        <v>111</v>
      </c>
      <c r="Q13" s="83"/>
    </row>
    <row r="14" spans="2:17">
      <c r="B14" s="66"/>
      <c r="C14" s="69"/>
      <c r="D14" s="2" t="s">
        <v>123</v>
      </c>
      <c r="G14" s="20">
        <v>7</v>
      </c>
      <c r="H14" s="14">
        <v>6</v>
      </c>
      <c r="I14" s="13" t="s">
        <v>110</v>
      </c>
      <c r="J14" s="13"/>
      <c r="K14" s="29">
        <v>106</v>
      </c>
      <c r="L14" s="29" t="s">
        <v>75</v>
      </c>
      <c r="M14" s="29">
        <v>40</v>
      </c>
      <c r="N14" s="29" t="s">
        <v>76</v>
      </c>
      <c r="O14" s="29" t="s">
        <v>77</v>
      </c>
      <c r="P14" s="50" t="s">
        <v>78</v>
      </c>
      <c r="Q14" s="51"/>
    </row>
    <row r="15" spans="2:17">
      <c r="B15" s="66"/>
      <c r="C15" s="69"/>
      <c r="D15" s="2" t="s">
        <v>124</v>
      </c>
      <c r="G15" s="20">
        <v>8</v>
      </c>
      <c r="H15" s="14">
        <v>7</v>
      </c>
      <c r="I15" s="13" t="s">
        <v>125</v>
      </c>
      <c r="J15" s="13" t="s">
        <v>125</v>
      </c>
      <c r="K15" s="29"/>
      <c r="L15" s="29"/>
      <c r="M15" s="29"/>
      <c r="N15" s="29"/>
      <c r="O15" s="29"/>
      <c r="P15" s="50"/>
      <c r="Q15" s="51"/>
    </row>
    <row r="16" spans="2:17">
      <c r="B16" s="66"/>
      <c r="C16" s="69"/>
      <c r="D16" s="2" t="s">
        <v>126</v>
      </c>
      <c r="G16" s="20">
        <v>9</v>
      </c>
      <c r="H16" s="14">
        <v>8</v>
      </c>
      <c r="I16" s="13"/>
      <c r="J16" s="13"/>
      <c r="K16" s="29"/>
      <c r="L16" s="29"/>
      <c r="M16" s="29"/>
      <c r="N16" s="29"/>
      <c r="O16" s="29"/>
      <c r="P16" s="50"/>
      <c r="Q16" s="51"/>
    </row>
    <row r="17" spans="2:17">
      <c r="B17" s="67"/>
      <c r="C17" s="70"/>
      <c r="D17" s="2" t="s">
        <v>127</v>
      </c>
      <c r="G17" s="20">
        <v>10</v>
      </c>
      <c r="H17" s="14">
        <v>9</v>
      </c>
      <c r="I17" s="13"/>
      <c r="J17" s="13"/>
      <c r="K17" s="29"/>
      <c r="L17" s="29"/>
      <c r="M17" s="29"/>
      <c r="N17" s="29"/>
      <c r="O17" s="29"/>
      <c r="P17" s="50"/>
      <c r="Q17" s="51"/>
    </row>
    <row r="18" spans="2:17">
      <c r="B18" s="65">
        <v>3</v>
      </c>
      <c r="C18" s="68" t="s">
        <v>128</v>
      </c>
      <c r="D18" s="2" t="s">
        <v>129</v>
      </c>
      <c r="G18" s="20">
        <v>11</v>
      </c>
      <c r="H18" s="14">
        <v>10</v>
      </c>
      <c r="I18" s="13"/>
      <c r="J18" s="13"/>
      <c r="K18" s="29"/>
      <c r="L18" s="29"/>
      <c r="M18" s="29"/>
      <c r="N18" s="29"/>
      <c r="O18" s="29"/>
      <c r="P18" s="50"/>
      <c r="Q18" s="51"/>
    </row>
    <row r="19" spans="2:17">
      <c r="B19" s="66"/>
      <c r="C19" s="69"/>
      <c r="D19" s="2" t="s">
        <v>130</v>
      </c>
      <c r="G19" s="20">
        <v>12</v>
      </c>
      <c r="H19" s="14">
        <v>11</v>
      </c>
      <c r="I19" s="13"/>
      <c r="J19" s="13"/>
      <c r="K19" s="29"/>
      <c r="L19" s="29"/>
      <c r="M19" s="29"/>
      <c r="N19" s="29"/>
      <c r="O19" s="29"/>
      <c r="P19" s="50"/>
      <c r="Q19" s="51"/>
    </row>
    <row r="20" spans="2:17">
      <c r="B20" s="66"/>
      <c r="C20" s="69"/>
      <c r="D20" s="2" t="s">
        <v>131</v>
      </c>
      <c r="G20" s="20">
        <v>13</v>
      </c>
      <c r="H20" s="14">
        <v>12</v>
      </c>
      <c r="I20" s="13"/>
      <c r="J20" s="13"/>
      <c r="K20" s="29"/>
      <c r="L20" s="29"/>
      <c r="M20" s="29"/>
      <c r="N20" s="29"/>
      <c r="O20" s="29"/>
      <c r="P20" s="50"/>
      <c r="Q20" s="51"/>
    </row>
    <row r="21" spans="2:17">
      <c r="B21" s="66"/>
      <c r="C21" s="69"/>
      <c r="D21" s="2" t="s">
        <v>132</v>
      </c>
      <c r="G21" s="20">
        <v>14</v>
      </c>
      <c r="H21" s="14">
        <v>13</v>
      </c>
      <c r="I21" s="13"/>
      <c r="J21" s="13"/>
      <c r="K21" s="29"/>
      <c r="L21" s="29"/>
      <c r="M21" s="29"/>
      <c r="N21" s="29"/>
      <c r="O21" s="29"/>
      <c r="P21" s="50"/>
      <c r="Q21" s="51"/>
    </row>
    <row r="22" spans="2:17">
      <c r="B22" s="66"/>
      <c r="C22" s="69"/>
      <c r="D22" s="2" t="s">
        <v>133</v>
      </c>
      <c r="G22" s="20">
        <v>15</v>
      </c>
      <c r="H22" s="14">
        <v>14</v>
      </c>
      <c r="I22" s="13"/>
      <c r="J22" s="13"/>
      <c r="K22" s="29"/>
      <c r="L22" s="29"/>
      <c r="M22" s="29"/>
      <c r="N22" s="29"/>
      <c r="O22" s="29"/>
      <c r="P22" s="50"/>
      <c r="Q22" s="51"/>
    </row>
    <row r="23" spans="2:17">
      <c r="B23" s="67"/>
      <c r="C23" s="70"/>
      <c r="D23" s="2" t="s">
        <v>134</v>
      </c>
      <c r="G23" s="20">
        <v>16</v>
      </c>
      <c r="H23" s="14">
        <v>15</v>
      </c>
      <c r="I23" s="13"/>
      <c r="J23" s="13"/>
      <c r="K23" s="29"/>
      <c r="L23" s="29"/>
      <c r="M23" s="29"/>
      <c r="N23" s="29"/>
      <c r="O23" s="29"/>
      <c r="P23" s="50"/>
      <c r="Q23" s="51"/>
    </row>
    <row r="24" spans="2:17">
      <c r="B24" s="65">
        <v>4</v>
      </c>
      <c r="C24" s="68" t="s">
        <v>125</v>
      </c>
      <c r="D24" s="2" t="s">
        <v>125</v>
      </c>
      <c r="G24" s="20">
        <v>17</v>
      </c>
      <c r="H24" s="14">
        <v>16</v>
      </c>
      <c r="I24" s="13"/>
      <c r="J24" s="13"/>
      <c r="K24" s="29"/>
      <c r="L24" s="29"/>
      <c r="M24" s="29"/>
      <c r="N24" s="29"/>
      <c r="O24" s="29"/>
      <c r="P24" s="50"/>
      <c r="Q24" s="51"/>
    </row>
    <row r="25" spans="2:17">
      <c r="B25" s="66"/>
      <c r="C25" s="69"/>
      <c r="D25" s="2" t="s">
        <v>125</v>
      </c>
      <c r="G25" s="20">
        <v>18</v>
      </c>
      <c r="H25" s="14">
        <v>17</v>
      </c>
      <c r="I25" s="13"/>
      <c r="J25" s="13"/>
      <c r="K25" s="29"/>
      <c r="L25" s="29"/>
      <c r="M25" s="29"/>
      <c r="N25" s="29"/>
      <c r="O25" s="29"/>
      <c r="P25" s="50"/>
      <c r="Q25" s="51"/>
    </row>
    <row r="26" spans="2:17">
      <c r="B26" s="66"/>
      <c r="C26" s="69"/>
      <c r="D26" s="2" t="s">
        <v>125</v>
      </c>
    </row>
    <row r="27" spans="2:17">
      <c r="B27" s="66"/>
      <c r="C27" s="69"/>
      <c r="D27" s="2" t="s">
        <v>125</v>
      </c>
    </row>
    <row r="28" spans="2:17">
      <c r="B28" s="66"/>
      <c r="C28" s="69"/>
      <c r="D28" s="2" t="s">
        <v>125</v>
      </c>
      <c r="G28" s="55"/>
      <c r="H28" s="55"/>
      <c r="I28" s="56"/>
      <c r="J28" s="56"/>
      <c r="K28" s="56"/>
      <c r="L28" s="56"/>
      <c r="M28" s="56"/>
      <c r="N28" s="37"/>
    </row>
    <row r="29" spans="2:17">
      <c r="B29" s="67"/>
      <c r="C29" s="70"/>
      <c r="D29" s="2" t="s">
        <v>125</v>
      </c>
      <c r="I29" s="71"/>
      <c r="J29" s="71"/>
      <c r="K29" s="71"/>
      <c r="L29" s="71"/>
      <c r="M29" s="71"/>
      <c r="N29" s="38"/>
    </row>
    <row r="30" spans="2:17"/>
    <row r="31" spans="2:17"/>
    <row r="32" spans="2:17"/>
  </sheetData>
  <mergeCells count="40">
    <mergeCell ref="C7:C11"/>
    <mergeCell ref="B7:B11"/>
    <mergeCell ref="B12:B17"/>
    <mergeCell ref="B1:E1"/>
    <mergeCell ref="G6:G7"/>
    <mergeCell ref="I6:I7"/>
    <mergeCell ref="J6:J7"/>
    <mergeCell ref="B24:B29"/>
    <mergeCell ref="C24:C29"/>
    <mergeCell ref="C12:C17"/>
    <mergeCell ref="C18:C23"/>
    <mergeCell ref="B18:B23"/>
    <mergeCell ref="I29:M29"/>
    <mergeCell ref="G5:Q5"/>
    <mergeCell ref="B3:G3"/>
    <mergeCell ref="P7:Q7"/>
    <mergeCell ref="G28:H28"/>
    <mergeCell ref="I28:M28"/>
    <mergeCell ref="B5:D5"/>
    <mergeCell ref="P6:Q6"/>
    <mergeCell ref="H6:H7"/>
    <mergeCell ref="P25:Q25"/>
    <mergeCell ref="P14:Q14"/>
    <mergeCell ref="P15:Q15"/>
    <mergeCell ref="P22:Q22"/>
    <mergeCell ref="P23:Q23"/>
    <mergeCell ref="P24:Q24"/>
    <mergeCell ref="P16:Q16"/>
    <mergeCell ref="P17:Q17"/>
    <mergeCell ref="P18:Q18"/>
    <mergeCell ref="P8:Q8"/>
    <mergeCell ref="P9:Q9"/>
    <mergeCell ref="P19:Q19"/>
    <mergeCell ref="P20:Q20"/>
    <mergeCell ref="P21:Q21"/>
    <mergeCell ref="P13:Q13"/>
    <mergeCell ref="K6:O6"/>
    <mergeCell ref="P10:Q10"/>
    <mergeCell ref="P11:Q11"/>
    <mergeCell ref="P12:Q12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</sheetPr>
  <dimension ref="B1:P21"/>
  <sheetViews>
    <sheetView workbookViewId="0">
      <selection activeCell="B19" sqref="B19"/>
    </sheetView>
  </sheetViews>
  <sheetFormatPr defaultRowHeight="14.45"/>
  <cols>
    <col min="6" max="6" width="12.140625" bestFit="1" customWidth="1"/>
    <col min="7" max="7" width="17.5703125" bestFit="1" customWidth="1"/>
    <col min="8" max="8" width="10.5703125" customWidth="1"/>
    <col min="9" max="9" width="15.7109375" bestFit="1" customWidth="1"/>
    <col min="10" max="10" width="8.85546875" bestFit="1" customWidth="1"/>
    <col min="12" max="12" width="9.85546875" customWidth="1"/>
    <col min="13" max="13" width="36.5703125" bestFit="1" customWidth="1"/>
    <col min="14" max="14" width="15.5703125" customWidth="1"/>
  </cols>
  <sheetData>
    <row r="1" spans="2:16">
      <c r="B1" s="60" t="s">
        <v>0</v>
      </c>
      <c r="C1" s="61"/>
      <c r="D1" s="61"/>
      <c r="E1" s="62"/>
    </row>
    <row r="3" spans="2:16">
      <c r="B3" s="117" t="s">
        <v>135</v>
      </c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</row>
    <row r="4" spans="2:16" ht="15">
      <c r="B4" s="58" t="s">
        <v>136</v>
      </c>
      <c r="C4" s="115" t="s">
        <v>137</v>
      </c>
      <c r="D4" s="99" t="s">
        <v>138</v>
      </c>
      <c r="E4" s="63" t="s">
        <v>139</v>
      </c>
      <c r="F4" s="76" t="s">
        <v>36</v>
      </c>
      <c r="G4" s="85"/>
      <c r="H4" s="85"/>
      <c r="I4" s="85"/>
      <c r="J4" s="85"/>
      <c r="K4" s="85"/>
      <c r="L4" s="77"/>
      <c r="M4" s="84" t="s">
        <v>37</v>
      </c>
      <c r="N4" s="84"/>
    </row>
    <row r="5" spans="2:16" ht="15">
      <c r="B5" s="98"/>
      <c r="C5" s="116"/>
      <c r="D5" s="100"/>
      <c r="E5" s="114"/>
      <c r="F5" s="22" t="s">
        <v>40</v>
      </c>
      <c r="G5" s="22" t="s">
        <v>41</v>
      </c>
      <c r="H5" s="22" t="s">
        <v>42</v>
      </c>
      <c r="I5" s="22" t="s">
        <v>140</v>
      </c>
      <c r="J5" s="110" t="s">
        <v>44</v>
      </c>
      <c r="K5" s="123"/>
      <c r="L5" s="111"/>
      <c r="M5" s="22" t="s">
        <v>45</v>
      </c>
      <c r="N5" s="22" t="s">
        <v>141</v>
      </c>
    </row>
    <row r="6" spans="2:16" ht="15">
      <c r="B6" s="21">
        <v>1</v>
      </c>
      <c r="C6" s="97" t="s">
        <v>142</v>
      </c>
      <c r="D6" s="26" t="s">
        <v>143</v>
      </c>
      <c r="E6" s="21" t="s">
        <v>144</v>
      </c>
      <c r="F6" s="25">
        <v>101</v>
      </c>
      <c r="G6" s="25" t="s">
        <v>145</v>
      </c>
      <c r="H6" s="25">
        <v>12.75</v>
      </c>
      <c r="I6" s="25" t="s">
        <v>49</v>
      </c>
      <c r="J6" s="124" t="s">
        <v>50</v>
      </c>
      <c r="K6" s="125"/>
      <c r="L6" s="126"/>
      <c r="M6" s="25" t="s">
        <v>146</v>
      </c>
      <c r="N6" s="21" t="s">
        <v>114</v>
      </c>
    </row>
    <row r="7" spans="2:16" ht="30.75">
      <c r="B7" s="10">
        <f>B6+1</f>
        <v>2</v>
      </c>
      <c r="C7" s="97"/>
      <c r="D7" s="27" t="s">
        <v>147</v>
      </c>
      <c r="E7" s="10" t="s">
        <v>144</v>
      </c>
      <c r="F7" s="5">
        <v>102</v>
      </c>
      <c r="G7" s="5" t="s">
        <v>148</v>
      </c>
      <c r="H7" s="135">
        <v>-50</v>
      </c>
      <c r="I7" s="5" t="s">
        <v>49</v>
      </c>
      <c r="J7" s="132" t="s">
        <v>58</v>
      </c>
      <c r="K7" s="133"/>
      <c r="L7" s="134"/>
      <c r="M7" s="131" t="s">
        <v>149</v>
      </c>
      <c r="N7" s="129" t="s">
        <v>150</v>
      </c>
    </row>
    <row r="8" spans="2:16" ht="15">
      <c r="B8" s="10">
        <v>3</v>
      </c>
      <c r="C8" s="97"/>
      <c r="D8" s="27" t="s">
        <v>144</v>
      </c>
      <c r="E8" s="10" t="s">
        <v>151</v>
      </c>
      <c r="F8" s="12">
        <v>103</v>
      </c>
      <c r="G8" s="9" t="s">
        <v>152</v>
      </c>
      <c r="H8" s="130">
        <v>5</v>
      </c>
      <c r="I8" s="9" t="s">
        <v>153</v>
      </c>
      <c r="J8" s="112" t="s">
        <v>50</v>
      </c>
      <c r="K8" s="127"/>
      <c r="L8" s="113"/>
      <c r="M8" s="5" t="s">
        <v>146</v>
      </c>
      <c r="N8" s="10" t="s">
        <v>114</v>
      </c>
    </row>
    <row r="9" spans="2:16" ht="30.75">
      <c r="B9" s="10">
        <v>4</v>
      </c>
      <c r="C9" s="97"/>
      <c r="D9" s="27" t="s">
        <v>144</v>
      </c>
      <c r="E9" s="10" t="s">
        <v>154</v>
      </c>
      <c r="F9" s="12">
        <v>104</v>
      </c>
      <c r="G9" s="9" t="s">
        <v>152</v>
      </c>
      <c r="H9" s="135">
        <v>4.99</v>
      </c>
      <c r="I9" s="9" t="s">
        <v>153</v>
      </c>
      <c r="J9" s="112" t="s">
        <v>50</v>
      </c>
      <c r="K9" s="127"/>
      <c r="L9" s="113"/>
      <c r="M9" s="131" t="s">
        <v>149</v>
      </c>
      <c r="N9" s="129" t="s">
        <v>150</v>
      </c>
    </row>
    <row r="10" spans="2:16" ht="15">
      <c r="B10" s="23"/>
      <c r="C10" s="23"/>
      <c r="D10" s="24"/>
      <c r="E10" s="23"/>
      <c r="F10" s="23"/>
      <c r="G10" s="23"/>
      <c r="H10" s="23"/>
      <c r="I10" s="23"/>
      <c r="J10" s="23"/>
      <c r="K10" s="23"/>
      <c r="L10" s="23"/>
      <c r="M10" s="23"/>
      <c r="N10" s="23"/>
    </row>
    <row r="11" spans="2:16" ht="14.45" customHeight="1">
      <c r="C11" s="23"/>
      <c r="D11" s="24"/>
      <c r="E11" s="23"/>
      <c r="F11" s="6"/>
      <c r="G11" s="6"/>
      <c r="H11" s="6"/>
      <c r="I11" s="6"/>
      <c r="J11" s="6"/>
      <c r="K11" s="96"/>
      <c r="L11" s="96"/>
      <c r="M11" s="6"/>
    </row>
    <row r="12" spans="2:16" ht="15">
      <c r="M12" s="6"/>
    </row>
    <row r="13" spans="2:16" ht="15">
      <c r="B13" s="23" t="s">
        <v>155</v>
      </c>
      <c r="C13" s="90" t="s">
        <v>156</v>
      </c>
      <c r="D13" s="92"/>
      <c r="E13" s="92"/>
      <c r="F13" s="93"/>
      <c r="G13" s="33" t="s">
        <v>157</v>
      </c>
      <c r="H13" s="90" t="s">
        <v>158</v>
      </c>
      <c r="I13" s="91"/>
      <c r="J13" s="92"/>
      <c r="K13" s="92"/>
      <c r="L13" s="93"/>
      <c r="M13" s="90" t="s">
        <v>159</v>
      </c>
      <c r="N13" s="91"/>
      <c r="O13" s="92"/>
      <c r="P13" s="93"/>
    </row>
    <row r="14" spans="2:16" ht="14.45" customHeight="1">
      <c r="B14" s="103" t="s">
        <v>137</v>
      </c>
      <c r="C14" s="104" t="s">
        <v>160</v>
      </c>
      <c r="D14" s="89" t="s">
        <v>161</v>
      </c>
      <c r="E14" s="89" t="s">
        <v>162</v>
      </c>
      <c r="F14" s="88" t="s">
        <v>163</v>
      </c>
      <c r="G14" s="109" t="s">
        <v>164</v>
      </c>
      <c r="H14" s="105" t="s">
        <v>165</v>
      </c>
      <c r="I14" s="106"/>
      <c r="J14" s="89" t="s">
        <v>160</v>
      </c>
      <c r="K14" s="89" t="s">
        <v>161</v>
      </c>
      <c r="L14" s="88" t="s">
        <v>162</v>
      </c>
      <c r="M14" s="94" t="s">
        <v>165</v>
      </c>
      <c r="N14" s="89" t="s">
        <v>160</v>
      </c>
      <c r="O14" s="89" t="s">
        <v>161</v>
      </c>
      <c r="P14" s="88" t="s">
        <v>162</v>
      </c>
    </row>
    <row r="15" spans="2:16">
      <c r="B15" s="103"/>
      <c r="C15" s="104"/>
      <c r="D15" s="89"/>
      <c r="E15" s="89"/>
      <c r="F15" s="88"/>
      <c r="G15" s="109"/>
      <c r="H15" s="107"/>
      <c r="I15" s="108"/>
      <c r="J15" s="89"/>
      <c r="K15" s="89"/>
      <c r="L15" s="88"/>
      <c r="M15" s="95"/>
      <c r="N15" s="89"/>
      <c r="O15" s="89"/>
      <c r="P15" s="88"/>
    </row>
    <row r="16" spans="2:16">
      <c r="B16" s="36" t="s">
        <v>142</v>
      </c>
      <c r="C16" s="32">
        <v>37</v>
      </c>
      <c r="D16" s="34">
        <v>37</v>
      </c>
      <c r="E16" s="34">
        <v>0</v>
      </c>
      <c r="F16" s="35">
        <v>0</v>
      </c>
      <c r="G16" s="40">
        <v>0</v>
      </c>
      <c r="H16" s="101" t="s">
        <v>120</v>
      </c>
      <c r="I16" s="102"/>
      <c r="J16" s="2">
        <v>0</v>
      </c>
      <c r="K16" s="34">
        <v>0</v>
      </c>
      <c r="L16" s="35">
        <v>0</v>
      </c>
      <c r="M16" s="39" t="s">
        <v>120</v>
      </c>
      <c r="N16" s="2">
        <v>0</v>
      </c>
      <c r="O16" s="34">
        <v>0</v>
      </c>
      <c r="P16" s="35">
        <v>0</v>
      </c>
    </row>
    <row r="17" spans="13:13">
      <c r="M17" s="3"/>
    </row>
    <row r="18" spans="13:13" ht="15"/>
    <row r="19" spans="13:13" ht="15"/>
    <row r="20" spans="13:13" ht="15"/>
    <row r="21" spans="13:13" ht="15"/>
  </sheetData>
  <mergeCells count="33">
    <mergeCell ref="J7:L7"/>
    <mergeCell ref="J8:L8"/>
    <mergeCell ref="J9:L9"/>
    <mergeCell ref="B1:E1"/>
    <mergeCell ref="M4:N4"/>
    <mergeCell ref="F4:L4"/>
    <mergeCell ref="E4:E5"/>
    <mergeCell ref="C4:C5"/>
    <mergeCell ref="B3:N3"/>
    <mergeCell ref="J5:L5"/>
    <mergeCell ref="J6:L6"/>
    <mergeCell ref="K11:L11"/>
    <mergeCell ref="C6:C9"/>
    <mergeCell ref="B4:B5"/>
    <mergeCell ref="D4:D5"/>
    <mergeCell ref="H16:I16"/>
    <mergeCell ref="B14:B15"/>
    <mergeCell ref="C14:C15"/>
    <mergeCell ref="D14:D15"/>
    <mergeCell ref="E14:E15"/>
    <mergeCell ref="F14:F15"/>
    <mergeCell ref="J14:J15"/>
    <mergeCell ref="C13:F13"/>
    <mergeCell ref="H13:L13"/>
    <mergeCell ref="H14:I15"/>
    <mergeCell ref="G14:G15"/>
    <mergeCell ref="K14:K15"/>
    <mergeCell ref="L14:L15"/>
    <mergeCell ref="O14:O15"/>
    <mergeCell ref="P14:P15"/>
    <mergeCell ref="M13:P13"/>
    <mergeCell ref="M14:M15"/>
    <mergeCell ref="N14:N15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c621349-07bb-4f69-bb8c-ca817af798a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0DCAE733D3F841B4052C53207B64B5" ma:contentTypeVersion="8" ma:contentTypeDescription="Create a new document." ma:contentTypeScope="" ma:versionID="9b18399ff56830746ac2afd8a8ebc386">
  <xsd:schema xmlns:xsd="http://www.w3.org/2001/XMLSchema" xmlns:xs="http://www.w3.org/2001/XMLSchema" xmlns:p="http://schemas.microsoft.com/office/2006/metadata/properties" xmlns:ns3="3c621349-07bb-4f69-bb8c-ca817af798a6" xmlns:ns4="cb3df994-17ae-497d-bc9c-e030f194ba7e" targetNamespace="http://schemas.microsoft.com/office/2006/metadata/properties" ma:root="true" ma:fieldsID="af3550412e37827ab91d53340e020360" ns3:_="" ns4:_="">
    <xsd:import namespace="3c621349-07bb-4f69-bb8c-ca817af798a6"/>
    <xsd:import namespace="cb3df994-17ae-497d-bc9c-e030f194ba7e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621349-07bb-4f69-bb8c-ca817af798a6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df994-17ae-497d-bc9c-e030f194ba7e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B9CA12-8961-4BEB-8D70-94D8CF82FF06}"/>
</file>

<file path=customXml/itemProps2.xml><?xml version="1.0" encoding="utf-8"?>
<ds:datastoreItem xmlns:ds="http://schemas.openxmlformats.org/officeDocument/2006/customXml" ds:itemID="{47FE877D-432C-44A9-9889-489A1D266CB2}"/>
</file>

<file path=customXml/itemProps3.xml><?xml version="1.0" encoding="utf-8"?>
<ds:datastoreItem xmlns:ds="http://schemas.openxmlformats.org/officeDocument/2006/customXml" ds:itemID="{3AC35564-33DC-402B-AD5B-BB2D3FC6FD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2026-03-28T14:35:20Z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0x010100D80DCAE733D3F841B4052C53207B64B5</vt:lpwstr>
  </property>
</Properties>
</file>